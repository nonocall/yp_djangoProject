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<sst xmlns="http://schemas.openxmlformats.org/spreadsheetml/2006/main" count="320" uniqueCount="55">
  <si>
    <t>id</t>
  </si>
  <si>
    <t>类型</t>
  </si>
  <si>
    <t>医疗类别</t>
  </si>
  <si>
    <t>医院项目编码</t>
  </si>
  <si>
    <t>项目A</t>
  </si>
  <si>
    <t>项目B</t>
  </si>
  <si>
    <t>诊断</t>
  </si>
  <si>
    <t>输出结果</t>
  </si>
  <si>
    <t>规则名称</t>
  </si>
  <si>
    <t>Unnamed: 7</t>
  </si>
  <si>
    <t>医保项目编码</t>
  </si>
  <si>
    <t>医保项目名称</t>
  </si>
  <si>
    <t>目录类别</t>
  </si>
  <si>
    <t>单价</t>
  </si>
  <si>
    <t>规格</t>
  </si>
  <si>
    <t>剂型</t>
  </si>
  <si>
    <t>数量</t>
  </si>
  <si>
    <t>金额</t>
  </si>
  <si>
    <t>Unnamed: 16</t>
  </si>
  <si>
    <t>非内窥镜下使用电极</t>
  </si>
  <si>
    <t>重复收费</t>
  </si>
  <si>
    <t>门诊</t>
  </si>
  <si>
    <t>射频消融电极FS D06</t>
  </si>
  <si>
    <t>镜</t>
  </si>
  <si>
    <t/>
  </si>
  <si>
    <t>WITH tab1 AS(
  SELECT 结算单据号
  FROM  医保门诊结算明细
  WHERE ( 医院项目名称 like '%射频消融电极FS D06%'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'%射频消融电极FS D06%' )  or ( 医院项目名称 like '%镜%' )  )  and A."险种类型" not like '%自费%' AND A.险种类型 not like '%工伤%'</t>
  </si>
  <si>
    <t>非内窥镜下使用</t>
  </si>
  <si>
    <t>C14050100500000</t>
  </si>
  <si>
    <t>其它</t>
  </si>
  <si>
    <t>一次性手术刀头(射频消融刀头)FS-D01环形颈椎</t>
  </si>
  <si>
    <t>WITH tab1 AS(
  SELECT 结算单据号
  FROM  医保门诊结算明细
  WHERE ( 医院项目名称 like '%一次性手术刀头(射频消融刀头)FS-D01环形颈椎%'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'%一次性手术刀头(射频消融刀头)FS-D01环形颈椎%' )  or ( 医院项目名称 like '%镜%' )  )  and A."险种类型" not like '%自费%' AND A.险种类型 not like '%工伤%'</t>
  </si>
  <si>
    <t>射频消融电极FS D07</t>
  </si>
  <si>
    <t>WITH tab1 AS(
  SELECT 结算单据号
  FROM  医保门诊结算明细
  WHERE ( 医院项目名称 like '%射频消融电极FS D07%'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'%射频消融电极FS D07%' )  or ( 医院项目名称 like '%镜%' )  )  and A."险种类型" not like '%自费%' AND A.险种类型 not like '%工伤%'</t>
  </si>
  <si>
    <t>射频消融刀头FA C11S-1330</t>
  </si>
  <si>
    <t>WITH tab1 AS(
  SELECT 结算单据号
  FROM  医保门诊结算明细
  WHERE ( 医院项目名称 like '%射频消融刀头FA C11S-1330%'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'%射频消融刀头FA C11S-1330%' )  or ( 医院项目名称 like '%镜%' )  )  and A."险种类型" not like '%自费%' AND A.险种类型 not like '%工伤%'</t>
  </si>
  <si>
    <t>非内窥镜下关节消融、止血等</t>
  </si>
  <si>
    <t>一次性射频等离子手术电极EDU16114060/4.2mm  90°</t>
  </si>
  <si>
    <t>WITH tab1 AS(
  SELECT 结算单据号
  FROM  医保门诊结算明细
  WHERE ( 医院项目名称 like '%一次性射频等离子手术电极EDU16114060/4.2mm  90°%'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'%一次性射频等离子手术电极EDU16114060/4.2mm  90°%' )  or ( 医院项目名称 like '%镜%' )  )  and A."险种类型" not like '%自费%' AND A.险种类型 not like '%工伤%'</t>
  </si>
  <si>
    <t>一次性射频等离子手术电极EDU16103860/3.5mm 60°</t>
  </si>
  <si>
    <t>WITH tab1 AS(
  SELECT 结算单据号
  FROM  医保门诊结算明细
  WHERE ( 医院项目名称 like '%一次性射频等离子手术电极EDU16103860/3.5mm 60°%'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'%一次性射频等离子手术电极EDU16103860/3.5mm 60°%' )  or ( 医院项目名称 like '%镜%' )  )  and A."险种类型" not like '%自费%' AND A.险种类型 not like '%工伤%'</t>
  </si>
  <si>
    <t>射频消融刀头FAC02S-1535</t>
  </si>
  <si>
    <t>WITH tab1 AS(
  SELECT 结算单据号
  FROM  医保门诊结算明细
  WHERE ( 医院项目名称 like '%射频消融刀头FAC02S-1535%'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'%射频消融刀头FAC02S-1535%' )  or ( 医院项目名称 like '%镜%' )  )  and A."险种类型" not like '%自费%' AND A.险种类型 not like '%工伤%'</t>
  </si>
  <si>
    <t>消融电极(一次性等离子刀头）D04AG</t>
  </si>
  <si>
    <t>WITH tab1 AS(
  SELECT 结算单据号
  FROM  医保门诊结算明细
  WHERE ( 医院项目名称 like '%消融电极(一次性等离子刀头）D04AG%' ) GROUP BY 结算单据号 HAVING SUM(数量)&gt;0
  INTERSECT
  SELECT 结算单据号
  FROM  医保门诊结算明细
  WHERE ( 医院项目名称 like '%镜%' ) GROUP BY 结算单据号 HAVING SUM(数量)&gt;0
)
SELECT
  A.结算单据号,
  A.医疗机构编码,
  A.医疗机构名称,
  A.结算日期,
  A.门诊号,
  A.个人编码,
  A.患者社会保障号码,
  A.险种类型,
  A.科室名称,
  A.医师名称,
  A.患者姓名,
  A.患者性别,
  A.患者出生日期,
  A.患者年龄,
  A.医疗类别,
  A.异地标志,
  A.诊断编码,
  A.诊断名称,
  A.医疗总费用,
  A.基本统筹支付,
  A.现金支付,
  A.个人账户支付,
  A.符合基本医疗保险的费用,
  B.开单科室名称,
  B.执行科室名称,
  B.开单医师姓名,
  B.项目使用日期,
  B.费用类别,
  B.医院项目编码,
  B.医院项目名称,
  B.医保项目编码,
  B.医保项目名称,
  B.拒付金额,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医保门诊结算明细 B
  JOIN 医保门诊结算主单 A ON B.结算单据号 = A.结算单据号
  JOIN tab1 C ON B.结算单据号 = C.结算单据号
WHERE  ( ( 医院项目名称 like '%消融电极(一次性等离子刀头）D04AG%' )  or ( 医院项目名称 like '%镜%' )  )  and A."险种类型" not like '%自费%' AND A.险种类型 not like '%工伤%'</t>
  </si>
  <si>
    <t>非内窥镜手术可用</t>
  </si>
  <si>
    <t>C14040100500000</t>
  </si>
  <si>
    <t>住院</t>
  </si>
  <si>
    <t>WITH tab1 AS (
  SELECT
    结算单据号,
    项目使用日期::DATE 项目使用日期
  FROM
    医保住院结算明细
  WHERE
     ( 医院项目名称 like '%射频消融电极FS D06%'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'%射频消融电极FS D06%' )  or  ( 医院项目名称 like '%镜%' )  )  and A."险种类型" not like '%自费%' AND A.险种类型 not like '%工伤%'</t>
  </si>
  <si>
    <t>WITH tab1 AS (
  SELECT
    结算单据号,
    项目使用日期::DATE 项目使用日期
  FROM
    医保住院结算明细
  WHERE
     ( 医院项目名称 like '%一次性手术刀头(射频消融刀头)FS-D01环形颈椎%'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'%一次性手术刀头(射频消融刀头)FS-D01环形颈椎%' )  or  ( 医院项目名称 like '%镜%' )  )  and A."险种类型" not like '%自费%' AND A.险种类型 not like '%工伤%'</t>
  </si>
  <si>
    <t>WITH tab1 AS (
  SELECT
    结算单据号,
    项目使用日期::DATE 项目使用日期
  FROM
    医保住院结算明细
  WHERE
     ( 医院项目名称 like '%射频消融电极FS D07%'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'%射频消融电极FS D07%' )  or  ( 医院项目名称 like '%镜%' )  )  and A."险种类型" not like '%自费%' AND A.险种类型 not like '%工伤%'</t>
  </si>
  <si>
    <t>WITH tab1 AS (
  SELECT
    结算单据号,
    项目使用日期::DATE 项目使用日期
  FROM
    医保住院结算明细
  WHERE
     ( 医院项目名称 like '%射频消融刀头FA C11S-1330%'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'%射频消融刀头FA C11S-1330%' )  or  ( 医院项目名称 like '%镜%' )  )  and A."险种类型" not like '%自费%' AND A.险种类型 not like '%工伤%'</t>
  </si>
  <si>
    <t>WITH tab1 AS (
  SELECT
    结算单据号,
    项目使用日期::DATE 项目使用日期
  FROM
    医保住院结算明细
  WHERE
     ( 医院项目名称 like '%一次性射频等离子手术电极EDU16114060/4.2mm  90°%'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'%一次性射频等离子手术电极EDU16114060/4.2mm  90°%' )  or  ( 医院项目名称 like '%镜%' )  )  and A."险种类型" not like '%自费%' AND A.险种类型 not like '%工伤%'</t>
  </si>
  <si>
    <t>WITH tab1 AS (
  SELECT
    结算单据号,
    项目使用日期::DATE 项目使用日期
  FROM
    医保住院结算明细
  WHERE
     ( 医院项目名称 like '%一次性射频等离子手术电极EDU16103860/3.5mm 60°%'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'%一次性射频等离子手术电极EDU16103860/3.5mm 60°%' )  or  ( 医院项目名称 like '%镜%' )  )  and A."险种类型" not like '%自费%' AND A.险种类型 not like '%工伤%'</t>
  </si>
  <si>
    <t>WITH tab1 AS (
  SELECT
    结算单据号,
    项目使用日期::DATE 项目使用日期
  FROM
    医保住院结算明细
  WHERE
     ( 医院项目名称 like '%射频消融刀头FAC02S-1535%'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'%射频消融刀头FAC02S-1535%' )  or  ( 医院项目名称 like '%镜%' )  )  and A."险种类型" not like '%自费%' AND A.险种类型 not like '%工伤%'</t>
  </si>
  <si>
    <t>WITH tab1 AS (
  SELECT
    结算单据号,
    项目使用日期::DATE 项目使用日期
  FROM
    医保住院结算明细
  WHERE
     ( 医院项目名称 like '%消融电极(一次性等离子刀头）D04AG%' )  GROUP BY  结算单据号, 项目使用日期::DATE HAVING SUM(数量)&gt;0
  INTERSECT
  SELECT
    结算单据号,
    项目使用日期::DATE 项目使用日期
  FROM
    医保住院结算明细
  WHERE
     ( 医院项目名称 like '%镜%' )  GROUP BY  结算单据号, 项目使用日期::DATE HAVING SUM(数量)&gt;0
)
SELECT
  A.病案号,
  A.结算单据号,
  A.医疗机构编码,
  A.医疗机构名称,
  A.结算日期,
  A.住院号,
  A.个人编码,
  A.患者社会保障号码,
  A.身份证号,
  A.险种类型,
  A.入院科室,
  A.出院科室,
  A.主诊医师姓名,
  A.患者姓名,
  A.患者年龄,
	A.患者性别,
  A.异地标志,
  A.入院日期,
  A.出院日期,
  (A.出院日期 :: DATE) - (A.入院日期 :: DATE) + 1 AS 住院天数,
  A.医疗总费用,
  A.基本统筹支付,
  A.个人自付,
  A.个人自费,
  A.符合基本医疗保险的费用,
  A.入院诊断编码,
  A.入院诊断名称,
  A.出院诊断编码,
  A.出院诊断名称,
  A.主手术及操作编码,
  A.主手术及操作名称,
  A.其他手术及操作编码,
  A.其他手术及操作名称,
  B.开单科室名称,
  B.执行科室名称,
  B.开单医师姓名,
  B.费用类别,
  B.项目使用日期,
  B.医院项目编码,
  B.医院项目名称,
  B.医保项目编码,
  B.医保项目名称,
  B.支付类别,
  B.报销比例,
  B.自付比例,
  B.支付地点类别,
  B.记账流水号,
  B.规格,
  B.单价,
  B.数量,
  B.金额,
  B.医保范围内金额,
CASE WHEN  ( 医院项目名称 like '%镜%' )  THEN B.数量 ELSE 0 END AS 使用总数量,
CASE WHEN  ( 医院项目名称 like '%镜%' )  THEN B.金额 ELSE 0 END AS 使用总金额,
CASE WHEN  ( 医院项目名称 like '%镜%' )  THEN B.数量 ELSE 0 END AS 违规数量,
CASE WHEN  ( 医院项目名称 like '%镜%' )  THEN B.医保范围内金额 ELSE 0 END AS 违规金额
FROM
  医保住院结算明细 B
  JOIN 医保住院结算主单 A ON A.结算单据号 = B.结算单据号
  JOIN tab1 C ON B.结算单据号 = C.结算单据号 AND C.项目使用日期 = B.项目使用日期::DATE
WHERE( ( 医院项目名称 like '%消融电极(一次性等离子刀头）D04AG%' )  or  ( 医院项目名称 like '%镜%' )  )  and A."险种类型" not like '%自费%' AND A.险种类型 not like '%工伤%'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</si>
</sst>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
  <sheetViews>
    <sheetView tabSelected="1" workbookViewId="0">
      <selection activeCell="J21" sqref="J21"/>
    </sheetView>
  </sheetViews>
  <sheetFormatPr defaultColWidth="9" defaultRowHeight="14.4"/>
  <cols>
    <col min="9" max="9" width="53.7777777777778" customWidth="1"/>
    <col min="10" max="10" width="30" customWidth="1"/>
  </cols>
  <sheetData>
    <row r="1" spans="1:19">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21</v>
      </c>
      <c r="D2">
        <v>401899</v>
      </c>
      <c r="E2" t="s">
        <v>22</v>
      </c>
      <c r="F2" t="s">
        <v>23</v>
      </c>
      <c r="G2" t="s">
        <v>24</v>
      </c>
      <c r="H2" t="s">
        <v>25</v>
      </c>
      <c r="I2" t="str">
        <f>CONCATENATE(E2,"非内窥镜下使用-",C2)</f>
        <v>射频消融电极FS D06非内窥镜下使用-门诊</v>
      </c>
      <c r="J2" t="s">
        <v>26</v>
      </c>
      <c r="K2" t="s">
        <v>27</v>
      </c>
      <c r="L2" t="s">
        <v>27</v>
      </c>
      <c r="M2" t="s">
        <v>28</v>
      </c>
      <c r="N2">
        <v>14000</v>
      </c>
      <c r="O2" t="s">
        <v>24</v>
      </c>
      <c r="P2" t="s">
        <v>24</v>
      </c>
      <c r="Q2">
        <v>17</v>
      </c>
      <c r="R2">
        <v>238000</v>
      </c>
      <c r="S2">
        <v>0</v>
      </c>
    </row>
    <row r="3" spans="1:19">
      <c r="A3" t="s">
        <v>19</v>
      </c>
      <c r="B3" t="s">
        <v>20</v>
      </c>
      <c r="C3" t="s">
        <v>21</v>
      </c>
      <c r="D3">
        <v>204189</v>
      </c>
      <c r="E3" t="s">
        <v>29</v>
      </c>
      <c r="F3" t="s">
        <v>23</v>
      </c>
      <c r="G3" t="s">
        <v>24</v>
      </c>
      <c r="H3" t="s">
        <v>30</v>
      </c>
      <c r="I3" t="str">
        <f t="shared" ref="I3:I21" si="0">CONCATENATE(E3,"非内窥镜下使用-",C3)</f>
        <v>一次性手术刀头(射频消融刀头)FS-D01环形颈椎非内窥镜下使用-门诊</v>
      </c>
      <c r="J3" t="s">
        <v>26</v>
      </c>
      <c r="K3" t="s">
        <v>27</v>
      </c>
      <c r="L3" t="s">
        <v>27</v>
      </c>
      <c r="M3" t="s">
        <v>28</v>
      </c>
      <c r="N3">
        <v>14000</v>
      </c>
      <c r="O3" t="s">
        <v>24</v>
      </c>
      <c r="P3" t="s">
        <v>24</v>
      </c>
      <c r="Q3">
        <v>5</v>
      </c>
      <c r="R3">
        <v>70000</v>
      </c>
      <c r="S3">
        <v>0</v>
      </c>
    </row>
    <row r="4" spans="1:19">
      <c r="A4" t="s">
        <v>19</v>
      </c>
      <c r="B4" t="s">
        <v>20</v>
      </c>
      <c r="C4" t="s">
        <v>21</v>
      </c>
      <c r="D4">
        <v>401901</v>
      </c>
      <c r="E4" t="s">
        <v>31</v>
      </c>
      <c r="F4" t="s">
        <v>23</v>
      </c>
      <c r="G4" t="s">
        <v>24</v>
      </c>
      <c r="H4" t="s">
        <v>32</v>
      </c>
      <c r="I4" t="str">
        <f t="shared" si="0"/>
        <v>射频消融电极FS D07非内窥镜下使用-门诊</v>
      </c>
      <c r="J4" t="s">
        <v>26</v>
      </c>
      <c r="K4" t="s">
        <v>27</v>
      </c>
      <c r="L4" t="s">
        <v>27</v>
      </c>
      <c r="M4" t="s">
        <v>28</v>
      </c>
      <c r="N4">
        <v>14000</v>
      </c>
      <c r="O4" t="s">
        <v>24</v>
      </c>
      <c r="P4" t="s">
        <v>24</v>
      </c>
      <c r="Q4">
        <v>2</v>
      </c>
      <c r="R4">
        <v>28000</v>
      </c>
      <c r="S4">
        <v>0</v>
      </c>
    </row>
    <row r="5" spans="1:19">
      <c r="A5" t="s">
        <v>19</v>
      </c>
      <c r="B5" t="s">
        <v>20</v>
      </c>
      <c r="C5" t="s">
        <v>21</v>
      </c>
      <c r="D5">
        <v>401566</v>
      </c>
      <c r="E5" t="s">
        <v>33</v>
      </c>
      <c r="F5" t="s">
        <v>23</v>
      </c>
      <c r="G5" t="s">
        <v>24</v>
      </c>
      <c r="H5" t="s">
        <v>34</v>
      </c>
      <c r="I5" t="str">
        <f t="shared" si="0"/>
        <v>射频消融刀头FA C11S-1330非内窥镜下使用-门诊</v>
      </c>
      <c r="J5" t="s">
        <v>35</v>
      </c>
      <c r="K5" t="s">
        <v>27</v>
      </c>
      <c r="L5" t="s">
        <v>27</v>
      </c>
      <c r="M5" t="s">
        <v>28</v>
      </c>
      <c r="N5">
        <v>6941.28</v>
      </c>
      <c r="O5" t="s">
        <v>24</v>
      </c>
      <c r="P5" t="s">
        <v>24</v>
      </c>
      <c r="Q5">
        <v>56</v>
      </c>
      <c r="R5">
        <v>388711.68</v>
      </c>
      <c r="S5">
        <v>0</v>
      </c>
    </row>
    <row r="6" spans="1:19">
      <c r="A6" t="s">
        <v>19</v>
      </c>
      <c r="B6" t="s">
        <v>20</v>
      </c>
      <c r="C6" t="s">
        <v>21</v>
      </c>
      <c r="D6">
        <v>402168</v>
      </c>
      <c r="E6" t="s">
        <v>36</v>
      </c>
      <c r="F6" t="s">
        <v>23</v>
      </c>
      <c r="G6" t="s">
        <v>24</v>
      </c>
      <c r="H6" t="s">
        <v>37</v>
      </c>
      <c r="I6" t="str">
        <f t="shared" si="0"/>
        <v>一次性射频等离子手术电极EDU16114060/4.2mm  90°非内窥镜下使用-门诊</v>
      </c>
      <c r="J6" t="s">
        <v>35</v>
      </c>
      <c r="K6" t="s">
        <v>27</v>
      </c>
      <c r="L6" t="s">
        <v>27</v>
      </c>
      <c r="M6" t="s">
        <v>28</v>
      </c>
      <c r="N6">
        <v>6300</v>
      </c>
      <c r="O6" t="s">
        <v>24</v>
      </c>
      <c r="P6" t="s">
        <v>24</v>
      </c>
      <c r="Q6">
        <v>134</v>
      </c>
      <c r="R6">
        <v>844200</v>
      </c>
      <c r="S6">
        <v>0</v>
      </c>
    </row>
    <row r="7" spans="1:19">
      <c r="A7" t="s">
        <v>19</v>
      </c>
      <c r="B7" t="s">
        <v>20</v>
      </c>
      <c r="C7" t="s">
        <v>21</v>
      </c>
      <c r="D7">
        <v>402167</v>
      </c>
      <c r="E7" t="s">
        <v>38</v>
      </c>
      <c r="F7" t="s">
        <v>23</v>
      </c>
      <c r="G7" t="s">
        <v>24</v>
      </c>
      <c r="H7" t="s">
        <v>39</v>
      </c>
      <c r="I7" t="str">
        <f t="shared" si="0"/>
        <v>一次性射频等离子手术电极EDU16103860/3.5mm 60°非内窥镜下使用-门诊</v>
      </c>
      <c r="J7" t="s">
        <v>35</v>
      </c>
      <c r="K7" t="s">
        <v>27</v>
      </c>
      <c r="L7" t="s">
        <v>27</v>
      </c>
      <c r="M7" t="s">
        <v>28</v>
      </c>
      <c r="N7">
        <v>6000</v>
      </c>
      <c r="O7" t="s">
        <v>24</v>
      </c>
      <c r="P7" t="s">
        <v>24</v>
      </c>
      <c r="Q7">
        <v>386</v>
      </c>
      <c r="R7">
        <v>2316000</v>
      </c>
      <c r="S7">
        <v>0</v>
      </c>
    </row>
    <row r="8" spans="1:19">
      <c r="A8" t="s">
        <v>19</v>
      </c>
      <c r="B8" t="s">
        <v>20</v>
      </c>
      <c r="C8" t="s">
        <v>21</v>
      </c>
      <c r="D8">
        <v>205353</v>
      </c>
      <c r="E8" t="s">
        <v>40</v>
      </c>
      <c r="F8" t="s">
        <v>23</v>
      </c>
      <c r="G8" t="s">
        <v>24</v>
      </c>
      <c r="H8" t="s">
        <v>41</v>
      </c>
      <c r="I8" t="str">
        <f t="shared" si="0"/>
        <v>射频消融刀头FAC02S-1535非内窥镜下使用-门诊</v>
      </c>
      <c r="J8" t="s">
        <v>35</v>
      </c>
      <c r="K8" t="s">
        <v>27</v>
      </c>
      <c r="L8" t="s">
        <v>27</v>
      </c>
      <c r="M8" t="s">
        <v>28</v>
      </c>
      <c r="N8">
        <v>5350</v>
      </c>
      <c r="O8" t="s">
        <v>24</v>
      </c>
      <c r="P8" t="s">
        <v>24</v>
      </c>
      <c r="Q8">
        <v>1</v>
      </c>
      <c r="R8">
        <v>5350</v>
      </c>
      <c r="S8">
        <v>0</v>
      </c>
    </row>
    <row r="9" spans="1:19">
      <c r="A9" t="s">
        <v>19</v>
      </c>
      <c r="B9" t="s">
        <v>20</v>
      </c>
      <c r="C9" t="s">
        <v>21</v>
      </c>
      <c r="D9">
        <v>401566</v>
      </c>
      <c r="E9" t="s">
        <v>33</v>
      </c>
      <c r="F9" t="s">
        <v>23</v>
      </c>
      <c r="G9" t="s">
        <v>24</v>
      </c>
      <c r="H9" t="s">
        <v>34</v>
      </c>
      <c r="I9" t="str">
        <f t="shared" si="0"/>
        <v>射频消融刀头FA C11S-1330非内窥镜下使用-门诊</v>
      </c>
      <c r="J9" t="s">
        <v>35</v>
      </c>
      <c r="K9" t="s">
        <v>27</v>
      </c>
      <c r="L9" t="s">
        <v>27</v>
      </c>
      <c r="M9" t="s">
        <v>28</v>
      </c>
      <c r="N9">
        <v>5040</v>
      </c>
      <c r="O9" t="s">
        <v>24</v>
      </c>
      <c r="P9" t="s">
        <v>24</v>
      </c>
      <c r="Q9">
        <v>2</v>
      </c>
      <c r="R9">
        <v>10080</v>
      </c>
      <c r="S9">
        <v>0</v>
      </c>
    </row>
    <row r="10" spans="1:19">
      <c r="A10" t="s">
        <v>19</v>
      </c>
      <c r="B10" t="s">
        <v>20</v>
      </c>
      <c r="C10" t="s">
        <v>21</v>
      </c>
      <c r="D10">
        <v>205353</v>
      </c>
      <c r="E10" t="s">
        <v>40</v>
      </c>
      <c r="F10" t="s">
        <v>23</v>
      </c>
      <c r="G10" t="s">
        <v>24</v>
      </c>
      <c r="H10" t="s">
        <v>41</v>
      </c>
      <c r="I10" t="str">
        <f t="shared" si="0"/>
        <v>射频消融刀头FAC02S-1535非内窥镜下使用-门诊</v>
      </c>
      <c r="J10" t="s">
        <v>35</v>
      </c>
      <c r="K10" t="s">
        <v>27</v>
      </c>
      <c r="L10" t="s">
        <v>27</v>
      </c>
      <c r="M10" t="s">
        <v>28</v>
      </c>
      <c r="N10">
        <v>3000</v>
      </c>
      <c r="O10" t="s">
        <v>24</v>
      </c>
      <c r="P10" t="s">
        <v>24</v>
      </c>
      <c r="Q10">
        <v>22</v>
      </c>
      <c r="R10">
        <v>66000</v>
      </c>
      <c r="S10">
        <v>0</v>
      </c>
    </row>
    <row r="11" spans="1:19">
      <c r="A11" t="s">
        <v>19</v>
      </c>
      <c r="B11" t="s">
        <v>20</v>
      </c>
      <c r="C11" t="s">
        <v>21</v>
      </c>
      <c r="D11">
        <v>402485</v>
      </c>
      <c r="E11" t="s">
        <v>42</v>
      </c>
      <c r="F11" t="s">
        <v>23</v>
      </c>
      <c r="G11" t="s">
        <v>24</v>
      </c>
      <c r="H11" t="s">
        <v>43</v>
      </c>
      <c r="I11" t="str">
        <f t="shared" si="0"/>
        <v>消融电极(一次性等离子刀头）D04AG非内窥镜下使用-门诊</v>
      </c>
      <c r="J11" t="s">
        <v>44</v>
      </c>
      <c r="K11" t="s">
        <v>45</v>
      </c>
      <c r="L11" t="s">
        <v>45</v>
      </c>
      <c r="M11" t="s">
        <v>28</v>
      </c>
      <c r="N11">
        <v>2600</v>
      </c>
      <c r="O11" t="s">
        <v>24</v>
      </c>
      <c r="P11" t="s">
        <v>24</v>
      </c>
      <c r="Q11">
        <v>37</v>
      </c>
      <c r="R11">
        <v>96200</v>
      </c>
      <c r="S11" t="s">
        <v>24</v>
      </c>
    </row>
    <row r="12" spans="1:19">
      <c r="A12" t="s">
        <v>19</v>
      </c>
      <c r="B12" t="s">
        <v>20</v>
      </c>
      <c r="C12" t="s">
        <v>46</v>
      </c>
      <c r="D12">
        <v>401899</v>
      </c>
      <c r="E12" t="s">
        <v>22</v>
      </c>
      <c r="F12" t="s">
        <v>23</v>
      </c>
      <c r="G12" t="s">
        <v>24</v>
      </c>
      <c r="H12" t="s">
        <v>47</v>
      </c>
      <c r="I12" t="str">
        <f t="shared" si="0"/>
        <v>射频消融电极FS D06非内窥镜下使用-住院</v>
      </c>
      <c r="J12" t="s">
        <v>24</v>
      </c>
      <c r="K12" t="s">
        <v>24</v>
      </c>
      <c r="L12" t="s">
        <v>24</v>
      </c>
      <c r="M12" t="s">
        <v>24</v>
      </c>
      <c r="N12" t="s">
        <v>24</v>
      </c>
      <c r="O12" t="s">
        <v>24</v>
      </c>
      <c r="P12" t="s">
        <v>24</v>
      </c>
      <c r="Q12" t="s">
        <v>24</v>
      </c>
      <c r="R12" t="s">
        <v>24</v>
      </c>
      <c r="S12" t="s">
        <v>24</v>
      </c>
    </row>
    <row r="13" spans="1:19">
      <c r="A13" t="s">
        <v>19</v>
      </c>
      <c r="B13" t="s">
        <v>20</v>
      </c>
      <c r="C13" t="s">
        <v>46</v>
      </c>
      <c r="D13">
        <v>204189</v>
      </c>
      <c r="E13" t="s">
        <v>29</v>
      </c>
      <c r="F13" t="s">
        <v>23</v>
      </c>
      <c r="G13" t="s">
        <v>24</v>
      </c>
      <c r="H13" t="s">
        <v>48</v>
      </c>
      <c r="I13" t="str">
        <f t="shared" si="0"/>
        <v>一次性手术刀头(射频消融刀头)FS-D01环形颈椎非内窥镜下使用-住院</v>
      </c>
      <c r="J13" t="s">
        <v>24</v>
      </c>
      <c r="K13" t="s">
        <v>24</v>
      </c>
      <c r="L13" t="s">
        <v>24</v>
      </c>
      <c r="M13" t="s">
        <v>24</v>
      </c>
      <c r="N13" t="s">
        <v>24</v>
      </c>
      <c r="O13" t="s">
        <v>24</v>
      </c>
      <c r="P13" t="s">
        <v>24</v>
      </c>
      <c r="Q13" t="s">
        <v>24</v>
      </c>
      <c r="R13" t="s">
        <v>24</v>
      </c>
      <c r="S13" t="s">
        <v>24</v>
      </c>
    </row>
    <row r="14" spans="1:19">
      <c r="A14" t="s">
        <v>19</v>
      </c>
      <c r="B14" t="s">
        <v>20</v>
      </c>
      <c r="C14" t="s">
        <v>46</v>
      </c>
      <c r="D14">
        <v>401901</v>
      </c>
      <c r="E14" t="s">
        <v>31</v>
      </c>
      <c r="F14" t="s">
        <v>23</v>
      </c>
      <c r="G14" t="s">
        <v>24</v>
      </c>
      <c r="H14" t="s">
        <v>49</v>
      </c>
      <c r="I14" t="str">
        <f t="shared" si="0"/>
        <v>射频消融电极FS D07非内窥镜下使用-住院</v>
      </c>
      <c r="J14" t="s">
        <v>24</v>
      </c>
      <c r="K14" t="s">
        <v>24</v>
      </c>
      <c r="L14" t="s">
        <v>24</v>
      </c>
      <c r="M14" t="s">
        <v>24</v>
      </c>
      <c r="N14" t="s">
        <v>24</v>
      </c>
      <c r="O14" t="s">
        <v>24</v>
      </c>
      <c r="P14" t="s">
        <v>24</v>
      </c>
      <c r="Q14" t="s">
        <v>24</v>
      </c>
      <c r="R14" t="s">
        <v>24</v>
      </c>
      <c r="S14" t="s">
        <v>24</v>
      </c>
    </row>
    <row r="15" spans="1:19">
      <c r="A15" t="s">
        <v>19</v>
      </c>
      <c r="B15" t="s">
        <v>20</v>
      </c>
      <c r="C15" t="s">
        <v>46</v>
      </c>
      <c r="D15">
        <v>401566</v>
      </c>
      <c r="E15" t="s">
        <v>33</v>
      </c>
      <c r="F15" t="s">
        <v>23</v>
      </c>
      <c r="G15" t="s">
        <v>24</v>
      </c>
      <c r="H15" t="s">
        <v>50</v>
      </c>
      <c r="I15" t="str">
        <f t="shared" si="0"/>
        <v>射频消融刀头FA C11S-1330非内窥镜下使用-住院</v>
      </c>
      <c r="J15" t="s">
        <v>24</v>
      </c>
      <c r="K15" t="s">
        <v>24</v>
      </c>
      <c r="L15" t="s">
        <v>24</v>
      </c>
      <c r="M15" t="s">
        <v>24</v>
      </c>
      <c r="N15" t="s">
        <v>24</v>
      </c>
      <c r="O15" t="s">
        <v>24</v>
      </c>
      <c r="P15" t="s">
        <v>24</v>
      </c>
      <c r="Q15" t="s">
        <v>24</v>
      </c>
      <c r="R15" t="s">
        <v>24</v>
      </c>
      <c r="S15" t="s">
        <v>24</v>
      </c>
    </row>
    <row r="16" spans="1:19">
      <c r="A16" t="s">
        <v>19</v>
      </c>
      <c r="B16" t="s">
        <v>20</v>
      </c>
      <c r="C16" t="s">
        <v>46</v>
      </c>
      <c r="D16">
        <v>402168</v>
      </c>
      <c r="E16" t="s">
        <v>36</v>
      </c>
      <c r="F16" t="s">
        <v>23</v>
      </c>
      <c r="G16" t="s">
        <v>24</v>
      </c>
      <c r="H16" t="s">
        <v>51</v>
      </c>
      <c r="I16" t="str">
        <f t="shared" si="0"/>
        <v>一次性射频等离子手术电极EDU16114060/4.2mm  90°非内窥镜下使用-住院</v>
      </c>
      <c r="J16" t="s">
        <v>24</v>
      </c>
      <c r="K16" t="s">
        <v>24</v>
      </c>
      <c r="L16" t="s">
        <v>24</v>
      </c>
      <c r="M16" t="s">
        <v>24</v>
      </c>
      <c r="N16" t="s">
        <v>24</v>
      </c>
      <c r="O16" t="s">
        <v>24</v>
      </c>
      <c r="P16" t="s">
        <v>24</v>
      </c>
      <c r="Q16" t="s">
        <v>24</v>
      </c>
      <c r="R16" t="s">
        <v>24</v>
      </c>
      <c r="S16" t="s">
        <v>24</v>
      </c>
    </row>
    <row r="17" spans="1:19">
      <c r="A17" t="s">
        <v>19</v>
      </c>
      <c r="B17" t="s">
        <v>20</v>
      </c>
      <c r="C17" t="s">
        <v>46</v>
      </c>
      <c r="D17">
        <v>402167</v>
      </c>
      <c r="E17" t="s">
        <v>38</v>
      </c>
      <c r="F17" t="s">
        <v>23</v>
      </c>
      <c r="G17" t="s">
        <v>24</v>
      </c>
      <c r="H17" t="s">
        <v>52</v>
      </c>
      <c r="I17" t="str">
        <f t="shared" si="0"/>
        <v>一次性射频等离子手术电极EDU16103860/3.5mm 60°非内窥镜下使用-住院</v>
      </c>
      <c r="J17" t="s">
        <v>24</v>
      </c>
      <c r="K17" t="s">
        <v>24</v>
      </c>
      <c r="L17" t="s">
        <v>24</v>
      </c>
      <c r="M17" t="s">
        <v>24</v>
      </c>
      <c r="N17" t="s">
        <v>24</v>
      </c>
      <c r="O17" t="s">
        <v>24</v>
      </c>
      <c r="P17" t="s">
        <v>24</v>
      </c>
      <c r="Q17" t="s">
        <v>24</v>
      </c>
      <c r="R17" t="s">
        <v>24</v>
      </c>
      <c r="S17" t="s">
        <v>24</v>
      </c>
    </row>
    <row r="18" spans="1:19">
      <c r="A18" t="s">
        <v>19</v>
      </c>
      <c r="B18" t="s">
        <v>20</v>
      </c>
      <c r="C18" t="s">
        <v>46</v>
      </c>
      <c r="D18">
        <v>205353</v>
      </c>
      <c r="E18" t="s">
        <v>40</v>
      </c>
      <c r="F18" t="s">
        <v>23</v>
      </c>
      <c r="G18" t="s">
        <v>24</v>
      </c>
      <c r="H18" t="s">
        <v>53</v>
      </c>
      <c r="I18" t="str">
        <f t="shared" si="0"/>
        <v>射频消融刀头FAC02S-1535非内窥镜下使用-住院</v>
      </c>
      <c r="J18" t="s">
        <v>24</v>
      </c>
      <c r="K18" t="s">
        <v>24</v>
      </c>
      <c r="L18" t="s">
        <v>24</v>
      </c>
      <c r="M18" t="s">
        <v>24</v>
      </c>
      <c r="N18" t="s">
        <v>24</v>
      </c>
      <c r="O18" t="s">
        <v>24</v>
      </c>
      <c r="P18" t="s">
        <v>24</v>
      </c>
      <c r="Q18" t="s">
        <v>24</v>
      </c>
      <c r="R18" t="s">
        <v>24</v>
      </c>
      <c r="S18" t="s">
        <v>24</v>
      </c>
    </row>
    <row r="19" spans="1:19">
      <c r="A19" t="s">
        <v>19</v>
      </c>
      <c r="B19" t="s">
        <v>20</v>
      </c>
      <c r="C19" t="s">
        <v>46</v>
      </c>
      <c r="D19">
        <v>401566</v>
      </c>
      <c r="E19" t="s">
        <v>33</v>
      </c>
      <c r="F19" t="s">
        <v>23</v>
      </c>
      <c r="G19" t="s">
        <v>24</v>
      </c>
      <c r="H19" t="s">
        <v>50</v>
      </c>
      <c r="I19" t="str">
        <f t="shared" si="0"/>
        <v>射频消融刀头FA C11S-1330非内窥镜下使用-住院</v>
      </c>
      <c r="J19" t="s">
        <v>24</v>
      </c>
      <c r="K19" t="s">
        <v>24</v>
      </c>
      <c r="L19" t="s">
        <v>24</v>
      </c>
      <c r="M19" t="s">
        <v>24</v>
      </c>
      <c r="N19" t="s">
        <v>24</v>
      </c>
      <c r="O19" t="s">
        <v>24</v>
      </c>
      <c r="P19" t="s">
        <v>24</v>
      </c>
      <c r="Q19" t="s">
        <v>24</v>
      </c>
      <c r="R19" t="s">
        <v>24</v>
      </c>
      <c r="S19" t="s">
        <v>24</v>
      </c>
    </row>
    <row r="20" spans="1:19">
      <c r="A20" t="s">
        <v>19</v>
      </c>
      <c r="B20" t="s">
        <v>20</v>
      </c>
      <c r="C20" t="s">
        <v>46</v>
      </c>
      <c r="D20">
        <v>205353</v>
      </c>
      <c r="E20" t="s">
        <v>40</v>
      </c>
      <c r="F20" t="s">
        <v>23</v>
      </c>
      <c r="G20" t="s">
        <v>24</v>
      </c>
      <c r="H20" t="s">
        <v>53</v>
      </c>
      <c r="I20" t="str">
        <f t="shared" si="0"/>
        <v>射频消融刀头FAC02S-1535非内窥镜下使用-住院</v>
      </c>
      <c r="J20" t="s">
        <v>24</v>
      </c>
      <c r="K20" t="s">
        <v>24</v>
      </c>
      <c r="L20" t="s">
        <v>24</v>
      </c>
      <c r="M20" t="s">
        <v>24</v>
      </c>
      <c r="N20" t="s">
        <v>24</v>
      </c>
      <c r="O20" t="s">
        <v>24</v>
      </c>
      <c r="P20" t="s">
        <v>24</v>
      </c>
      <c r="Q20" t="s">
        <v>24</v>
      </c>
      <c r="R20" t="s">
        <v>24</v>
      </c>
      <c r="S20" t="s">
        <v>24</v>
      </c>
    </row>
    <row r="21" spans="1:19">
      <c r="A21" t="s">
        <v>19</v>
      </c>
      <c r="B21" t="s">
        <v>20</v>
      </c>
      <c r="C21" t="s">
        <v>46</v>
      </c>
      <c r="D21">
        <v>402485</v>
      </c>
      <c r="E21" t="s">
        <v>42</v>
      </c>
      <c r="F21" t="s">
        <v>23</v>
      </c>
      <c r="G21" t="s">
        <v>24</v>
      </c>
      <c r="H21" t="s">
        <v>54</v>
      </c>
      <c r="I21" t="str">
        <f t="shared" si="0"/>
        <v>消融电极(一次性等离子刀头）D04AG非内窥镜下使用-住院</v>
      </c>
      <c r="J21" t="s">
        <v>24</v>
      </c>
      <c r="K21" t="s">
        <v>24</v>
      </c>
      <c r="L21" t="s">
        <v>24</v>
      </c>
      <c r="M21" t="s">
        <v>24</v>
      </c>
      <c r="N21" t="s">
        <v>24</v>
      </c>
      <c r="O21" t="s">
        <v>24</v>
      </c>
      <c r="P21" t="s">
        <v>24</v>
      </c>
      <c r="Q21" t="s">
        <v>24</v>
      </c>
      <c r="R21" t="s">
        <v>24</v>
      </c>
      <c r="S21" t="s">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子蚁</cp:lastModifiedBy>
  <dcterms:created xsi:type="dcterms:W3CDTF">2025-07-10T05:27:00Z</dcterms:created>
  <dcterms:modified xsi:type="dcterms:W3CDTF">2025-07-10T05:36:20Z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D9CBE61DED3F430EAB6702879DFBD762_12</vt:lpwstr>
  </property>
  <property fmtid="{D5CDD505-2E9C-101B-9397-08002B2CF9AE}" pid="3" name="KSOProductBuildVer">
    <vt:lpwstr>2052-12.1.0.19770</vt:lpwstr>
  </property>
</Properties>
</file>